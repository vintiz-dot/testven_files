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testven_files\moreland\"/>
    </mc:Choice>
  </mc:AlternateContent>
  <bookViews>
    <workbookView xWindow="0" yWindow="0" windowWidth="16380" windowHeight="8196" tabRatio="500"/>
  </bookViews>
  <sheets>
    <sheet name="Form Responses" sheetId="1" r:id="rId1"/>
    <sheet name="Teacher Summary" sheetId="2" r:id="rId2"/>
    <sheet name="Admin Summary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3" l="1"/>
  <c r="D35" i="3" s="1"/>
  <c r="B34" i="3"/>
  <c r="D34" i="3" s="1"/>
  <c r="B33" i="3"/>
  <c r="D33" i="3" s="1"/>
  <c r="C32" i="3"/>
  <c r="B32" i="3"/>
  <c r="D32" i="3" s="1"/>
  <c r="C31" i="3"/>
  <c r="B31" i="3"/>
  <c r="D31" i="3" s="1"/>
  <c r="B27" i="3"/>
  <c r="C27" i="3" s="1"/>
  <c r="D26" i="3"/>
  <c r="C26" i="3"/>
  <c r="B26" i="3"/>
  <c r="D25" i="3"/>
  <c r="C25" i="3"/>
  <c r="B25" i="3"/>
  <c r="C24" i="3"/>
  <c r="B24" i="3"/>
  <c r="D24" i="3" s="1"/>
  <c r="B23" i="3"/>
  <c r="D23" i="3" s="1"/>
  <c r="B22" i="3"/>
  <c r="D22" i="3" s="1"/>
  <c r="D18" i="3"/>
  <c r="C18" i="3"/>
  <c r="B18" i="3"/>
  <c r="C17" i="3"/>
  <c r="B17" i="3"/>
  <c r="D17" i="3" s="1"/>
  <c r="B16" i="3"/>
  <c r="C16" i="3" s="1"/>
  <c r="D15" i="3"/>
  <c r="B15" i="3"/>
  <c r="C15" i="3" s="1"/>
  <c r="D14" i="3"/>
  <c r="C14" i="3"/>
  <c r="B14" i="3"/>
  <c r="C10" i="3"/>
  <c r="B10" i="3"/>
  <c r="D10" i="3" s="1"/>
  <c r="B9" i="3"/>
  <c r="D9" i="3" s="1"/>
  <c r="B8" i="3"/>
  <c r="D8" i="3" s="1"/>
  <c r="D7" i="3"/>
  <c r="C7" i="3"/>
  <c r="B7" i="3"/>
  <c r="C6" i="3"/>
  <c r="B6" i="3"/>
  <c r="D6" i="3" s="1"/>
  <c r="B38" i="2"/>
  <c r="C38" i="2" s="1"/>
  <c r="D36" i="2"/>
  <c r="C36" i="2"/>
  <c r="B36" i="2"/>
  <c r="C35" i="2"/>
  <c r="B35" i="2"/>
  <c r="D35" i="2" s="1"/>
  <c r="B34" i="2"/>
  <c r="C34" i="2" s="1"/>
  <c r="B33" i="2"/>
  <c r="D33" i="2" s="1"/>
  <c r="D32" i="2"/>
  <c r="B32" i="2"/>
  <c r="C32" i="2" s="1"/>
  <c r="C28" i="2"/>
  <c r="B28" i="2"/>
  <c r="D28" i="2" s="1"/>
  <c r="B27" i="2"/>
  <c r="C27" i="2" s="1"/>
  <c r="B26" i="2"/>
  <c r="D26" i="2" s="1"/>
  <c r="D22" i="2"/>
  <c r="B22" i="2"/>
  <c r="C22" i="2" s="1"/>
  <c r="D21" i="2"/>
  <c r="C21" i="2"/>
  <c r="B21" i="2"/>
  <c r="B20" i="2"/>
  <c r="C20" i="2" s="1"/>
  <c r="B19" i="2"/>
  <c r="D19" i="2" s="1"/>
  <c r="D18" i="2"/>
  <c r="B18" i="2"/>
  <c r="C18" i="2" s="1"/>
  <c r="C17" i="2"/>
  <c r="B17" i="2"/>
  <c r="D17" i="2" s="1"/>
  <c r="B13" i="2"/>
  <c r="C13" i="2" s="1"/>
  <c r="B12" i="2"/>
  <c r="D12" i="2" s="1"/>
  <c r="D11" i="2"/>
  <c r="B11" i="2"/>
  <c r="C11" i="2" s="1"/>
  <c r="D10" i="2"/>
  <c r="C10" i="2"/>
  <c r="B10" i="2"/>
  <c r="B9" i="2"/>
  <c r="C9" i="2" s="1"/>
  <c r="B8" i="2"/>
  <c r="D8" i="2" s="1"/>
  <c r="D7" i="2"/>
  <c r="B7" i="2"/>
  <c r="C7" i="2" s="1"/>
  <c r="C6" i="2"/>
  <c r="B6" i="2"/>
  <c r="D6" i="2" s="1"/>
  <c r="D9" i="2" l="1"/>
  <c r="C12" i="2"/>
  <c r="D20" i="2"/>
  <c r="C26" i="2"/>
  <c r="D34" i="2"/>
  <c r="C8" i="3"/>
  <c r="D16" i="3"/>
  <c r="C22" i="3"/>
  <c r="D27" i="3"/>
  <c r="C33" i="3"/>
  <c r="C9" i="3"/>
  <c r="C23" i="3"/>
  <c r="C34" i="3"/>
  <c r="D13" i="2"/>
  <c r="C19" i="2"/>
  <c r="D27" i="2"/>
  <c r="C33" i="2"/>
  <c r="C8" i="2"/>
  <c r="C35" i="3"/>
</calcChain>
</file>

<file path=xl/sharedStrings.xml><?xml version="1.0" encoding="utf-8"?>
<sst xmlns="http://schemas.openxmlformats.org/spreadsheetml/2006/main" count="358" uniqueCount="221">
  <si>
    <t>Educational Technology Needs &amp; Instructional Coaching Survey — Responses</t>
  </si>
  <si>
    <t>Greenfield Preparatory Middle School · n = 18 teachers + 4 administrators · Collected 04/13/2026 – 04/17/2026</t>
  </si>
  <si>
    <t>TEACHER RESPONSES (n=18)</t>
  </si>
  <si>
    <t>Timestamp</t>
  </si>
  <si>
    <t>Role</t>
  </si>
  <si>
    <t>Teacher Name</t>
  </si>
  <si>
    <t>Grade &amp; Subject</t>
  </si>
  <si>
    <t>Devices Used</t>
  </si>
  <si>
    <t>Device Use Frequency</t>
  </si>
  <si>
    <t>Main Uses of Technology</t>
  </si>
  <si>
    <t>Confidence Using Tech for Differentiation (1–5)</t>
  </si>
  <si>
    <t>Top Challenges When Using Technology</t>
  </si>
  <si>
    <t>PD Topics Most Wanted</t>
  </si>
  <si>
    <t>Interested in 1:1 Coaching</t>
  </si>
  <si>
    <t>Open Response — Coaching Wish</t>
  </si>
  <si>
    <t>2026-04-14 04:16</t>
  </si>
  <si>
    <t>Teacher</t>
  </si>
  <si>
    <t>Ms. Vera Vectore</t>
  </si>
  <si>
    <t>7th Grade Math</t>
  </si>
  <si>
    <t>Chromebooks; Student smartphones</t>
  </si>
  <si>
    <t>Daily</t>
  </si>
  <si>
    <t>Practice (IXL, Khan); Assessments</t>
  </si>
  <si>
    <t>Students getting distracted; Not enough training; Classroom management</t>
  </si>
  <si>
    <t>Using data to adjust instruction; Classroom management with devices</t>
  </si>
  <si>
    <t>Yes</t>
  </si>
  <si>
    <t>Someone to sit with me and look at my IXL dashboard.</t>
  </si>
  <si>
    <t>2026-04-15 01:30</t>
  </si>
  <si>
    <t>Mr. Luis Luma</t>
  </si>
  <si>
    <t>6th Grade Science</t>
  </si>
  <si>
    <t>Chromebooks</t>
  </si>
  <si>
    <t>Research; Simulations (PhET, Gizmos); Assessments</t>
  </si>
  <si>
    <t>Students getting distracted; Concerns about passive use</t>
  </si>
  <si>
    <t>Creating interactive lessons; Student engagement strategies</t>
  </si>
  <si>
    <t>I'd love to see what's out there for middle-school Science that isn't just a quiz.</t>
  </si>
  <si>
    <t>2026-04-14 18:23</t>
  </si>
  <si>
    <t>Ms. Hana Ortiz</t>
  </si>
  <si>
    <t>8th Grade Algebra I</t>
  </si>
  <si>
    <t>A few times a week</t>
  </si>
  <si>
    <t>Practice (IXL); Desmos; Assessments</t>
  </si>
  <si>
    <t>Students getting distracted; Differentiation support</t>
  </si>
  <si>
    <t>Using technology for differentiation; Classroom management with devices</t>
  </si>
  <si>
    <t>Help designing stations that don't collapse when I'm with one group.</t>
  </si>
  <si>
    <t>2026-04-14 03:58</t>
  </si>
  <si>
    <t>Mr. Dre Patel</t>
  </si>
  <si>
    <t>7th Grade Science</t>
  </si>
  <si>
    <t>Research; EdPuzzle; Quizzes</t>
  </si>
  <si>
    <t>Students getting distracted</t>
  </si>
  <si>
    <t>Creating interactive lessons; Classroom management with devices</t>
  </si>
  <si>
    <t>Maybe</t>
  </si>
  <si>
    <t>PhET lesson ideas I can just pick up and run.</t>
  </si>
  <si>
    <t>2026-04-16 11:20</t>
  </si>
  <si>
    <t>6th Grade Math</t>
  </si>
  <si>
    <t>Practice (IXL); Khan Academy</t>
  </si>
  <si>
    <t>Students getting distracted; Not enough training; Differentiation support</t>
  </si>
  <si>
    <t>Classroom management with devices; Using technology for differentiation</t>
  </si>
  <si>
    <t>Training on GoGuardian — we have it but I've never used it.</t>
  </si>
  <si>
    <t>2026-04-16 17:42</t>
  </si>
  <si>
    <t>8th Grade Physical Science</t>
  </si>
  <si>
    <t>Research; Simulations; Interactive lessons (EdPuzzle)</t>
  </si>
  <si>
    <t>Lack of time; Lesson planning support</t>
  </si>
  <si>
    <t>Creating interactive lessons</t>
  </si>
  <si>
    <t>I know it's possible — I just need a faster on-ramp.</t>
  </si>
  <si>
    <t>2026-04-13 18:16</t>
  </si>
  <si>
    <t>Research; Video content; Assessments</t>
  </si>
  <si>
    <t>Students getting distracted; Not enough training</t>
  </si>
  <si>
    <t>Creating interactive lessons; Classroom management with devices; Student engagement strategies</t>
  </si>
  <si>
    <t>An interactive lesson I can co-plan with someone.</t>
  </si>
  <si>
    <t>2026-04-14 01:28</t>
  </si>
  <si>
    <t>Mr. Ernesto Guzman</t>
  </si>
  <si>
    <t>7th Grade Math (Resource/Inclusion)</t>
  </si>
  <si>
    <t>Practice (IXL); Assessment</t>
  </si>
  <si>
    <t>Differentiation support; Students getting distracted; Not enough training</t>
  </si>
  <si>
    <t>Using technology for differentiation; Supporting struggling learners</t>
  </si>
  <si>
    <t>Scaffolds for my IEP students that live inside the tools we already have.</t>
  </si>
  <si>
    <t>2026-04-14 19:47</t>
  </si>
  <si>
    <t>8th Grade Biology</t>
  </si>
  <si>
    <t>Research; Simulations; Interactive lessons</t>
  </si>
  <si>
    <t>Student engagement strategies; Creating interactive lessons</t>
  </si>
  <si>
    <t>I'm okay — but I'd peek at what other teachers are doing.</t>
  </si>
  <si>
    <t>2026-04-16 19:16</t>
  </si>
  <si>
    <t>Practice (IXL); Assessments; Research</t>
  </si>
  <si>
    <t>Students getting distracted; Troubleshooting issues; Not enough training</t>
  </si>
  <si>
    <t>Classroom management with devices; Using data to adjust instruction</t>
  </si>
  <si>
    <t>I assign IXL but I don't know what the data is really telling me.</t>
  </si>
  <si>
    <t>2026-04-16 13:27</t>
  </si>
  <si>
    <t>Practice (IXL); Khan Academy; Desmos</t>
  </si>
  <si>
    <t>Differentiation support; Lack of time</t>
  </si>
  <si>
    <t>Using technology for differentiation; Using data to adjust instruction</t>
  </si>
  <si>
    <t>Help turning my data into groupings without spending my whole planning period on it.</t>
  </si>
  <si>
    <t>2026-04-16 11:41</t>
  </si>
  <si>
    <t>Mr. Karim El-Sayed</t>
  </si>
  <si>
    <t>8th Grade Math</t>
  </si>
  <si>
    <t>Practice (IXL, Khan); Desmos; Assessments</t>
  </si>
  <si>
    <t>Classroom management with devices; Creating interactive lessons</t>
  </si>
  <si>
    <t>Honestly I want Desmos training — I know it can do more than I use it for.</t>
  </si>
  <si>
    <t>2026-04-14 18:43</t>
  </si>
  <si>
    <t>Ms. Ada Ijeoma</t>
  </si>
  <si>
    <t>Research; Video content</t>
  </si>
  <si>
    <t>Students getting distracted; Not enough training; Lesson planning support</t>
  </si>
  <si>
    <t>Stop the YouTube rabbit hole — I need real management support.</t>
  </si>
  <si>
    <t>2026-04-16 17:32</t>
  </si>
  <si>
    <t>Research; Simulations; EdPuzzle</t>
  </si>
  <si>
    <t>Concerns about effectiveness</t>
  </si>
  <si>
    <t>I need to see the data on whether any of this is actually working.</t>
  </si>
  <si>
    <t>2026-04-13 15:03</t>
  </si>
  <si>
    <t>A coach in my room once a week for a month would change everything.</t>
  </si>
  <si>
    <t>2026-04-14 10:59</t>
  </si>
  <si>
    <t>Ms. Devan Mariscal</t>
  </si>
  <si>
    <t>6th Grade Math (Inclusion)</t>
  </si>
  <si>
    <t>Practice (IXL); Assessments</t>
  </si>
  <si>
    <t>Differentiation support; Students getting distracted</t>
  </si>
  <si>
    <t>Using technology for differentiation; Supporting struggling learners; Classroom management with devices</t>
  </si>
  <si>
    <t>More scaffolds for my ML students — our building is ~28% ML.</t>
  </si>
  <si>
    <t>2026-04-15 20:36</t>
  </si>
  <si>
    <t>Students getting distracted; Lesson planning support</t>
  </si>
  <si>
    <t>I'd love co-planning time — not another webinar.</t>
  </si>
  <si>
    <t>2026-04-15 01:24</t>
  </si>
  <si>
    <t>Research; Interactive lessons</t>
  </si>
  <si>
    <t>Lack of time</t>
  </si>
  <si>
    <t>Creating interactive lessons; Using data to adjust instruction</t>
  </si>
  <si>
    <t>No</t>
  </si>
  <si>
    <t>I'm good — but I'll come to any PD on interactive video.</t>
  </si>
  <si>
    <t>ADMINISTRATOR RESPONSES (n=4)</t>
  </si>
  <si>
    <t>Admin Name</t>
  </si>
  <si>
    <t>School / Position</t>
  </si>
  <si>
    <t>Top Technology Priorities</t>
  </si>
  <si>
    <t>Tech Use Across Classrooms</t>
  </si>
  <si>
    <t>Biggest Concerns About Current Tech Use</t>
  </si>
  <si>
    <t>PD Focus Areas</t>
  </si>
  <si>
    <t>Coach Rec #1 — Teacher</t>
  </si>
  <si>
    <t>Coach Rec #1 — Goal</t>
  </si>
  <si>
    <t>Coach Rec #1 — Focus</t>
  </si>
  <si>
    <t>Coach Rec #2 — Teacher</t>
  </si>
  <si>
    <t>Coach Rec #2 — Goal</t>
  </si>
  <si>
    <t>Coach Rec #2 — Focus</t>
  </si>
  <si>
    <t>Desired Outcomes</t>
  </si>
  <si>
    <t>One-Year Vision</t>
  </si>
  <si>
    <t>2026-04-16 04:03</t>
  </si>
  <si>
    <t>Administrator</t>
  </si>
  <si>
    <t>Greenfield Preparatory Middle School — Principal</t>
  </si>
  <si>
    <t>Supporting data-driven instruction; Managing student devices and distractions; Differentiation through technology</t>
  </si>
  <si>
    <t>Inconsistent across classrooms</t>
  </si>
  <si>
    <t>Passive student use; Classroom management issues; Weak writing/typing skills</t>
  </si>
  <si>
    <t>Data-driven instruction; Classroom management with devices; Differentiation through technology</t>
  </si>
  <si>
    <t>Strengthen data-driven instruction. Ms. Vectore uses IXL daily but her dashboard-to-grouping pipeline is unclear. Also targeting off-task tab behavior during independent practice — 3 walkthroughs in October showed 4–6 students on YouTube/gaming tabs.</t>
  </si>
  <si>
    <t>Data-driven instruction</t>
  </si>
  <si>
    <t>Push beyond read-and-quiz to interactive simulations and EdPuzzle. Mr. Luma is a content expert and student-favorite — his Chromebook time should match that strength. Also would like to see him use Classroom announcements so schoolwide comms land.</t>
  </si>
  <si>
    <t>Student creation over consumption</t>
  </si>
  <si>
    <t>Improved academic outcomes (MAP, ERB); Increased teacher confidence; Improved assessment data use; Consistent technology use</t>
  </si>
  <si>
    <t>Every classroom has one device-management routine everyone can name; teachers pull at least one instructional move per week from their data; walkthrough look-fors show tech used for creation, not just consumption; new-teacher onboarding includes a tech playbook.</t>
  </si>
  <si>
    <t>2026-04-16 11:21</t>
  </si>
  <si>
    <t>Greenfield Prep — Assistant Principal for Instruction</t>
  </si>
  <si>
    <t>Student-centered learning; Supporting data-driven instruction; Teacher technology integration</t>
  </si>
  <si>
    <t>Technology replacing instruction; Inconsistent expectations; Passive student use</t>
  </si>
  <si>
    <t>Data-driven instruction; Student engagement strategies; Creating interactive lessons</t>
  </si>
  <si>
    <t>Grow station-rotation facility in her 8th-grade Algebra sections. She has the kids and the curriculum — needs a structured rotation routine.</t>
  </si>
  <si>
    <t>Classroom management with devices</t>
  </si>
  <si>
    <t>Desmos deep-dive. Mr. El-Sayed is already strong in Math but underuses Desmos Activity Builder; unlocking this tool could model for the whole Math department.</t>
  </si>
  <si>
    <t>Technology integration</t>
  </si>
  <si>
    <t>Improved academic outcomes (MAP, ERB); Increased teacher confidence; Improved assessment data use</t>
  </si>
  <si>
    <t>A schoolwide look-fors tool for EdTech that coaches and admin share.</t>
  </si>
  <si>
    <t>2026-04-15 19:39</t>
  </si>
  <si>
    <t>Greenfield Prep — Dean of Students</t>
  </si>
  <si>
    <t>Managing student devices and distractions; Classroom management support</t>
  </si>
  <si>
    <t>Classroom management issues; Passive student use; Device damage / repairs</t>
  </si>
  <si>
    <t>Classroom management with devices; Student engagement strategies</t>
  </si>
  <si>
    <t>Mr. Patel's 7th-grade Science sections have the highest device-write-up rate in Q1 — rarely behavior-motivated, almost always management-design. Needs support building predictable routines.</t>
  </si>
  <si>
    <t>Ms. Ijeoma is excellent with kids but Chromebook time in her 6th-grade Science class often drifts to YouTube. Needs GoGuardian training and a clear transition protocol.</t>
  </si>
  <si>
    <t>Consistent technology use; Increased teacher confidence; Increased student engagement</t>
  </si>
  <si>
    <t>Zero-surprise expectations: kids, teachers, and admin all know what Chromebook time looks like and sounds like.</t>
  </si>
  <si>
    <t>2026-04-15 20:37</t>
  </si>
  <si>
    <t>Greenfield Prep — Director of Teaching &amp; Learning</t>
  </si>
  <si>
    <t>Supporting data-driven instruction; Differentiation through technology; Teacher technology integration</t>
  </si>
  <si>
    <t>Overused in some rooms, underused in others</t>
  </si>
  <si>
    <t>Weak writing/typing skills; Technology replacing instruction; Passive student use</t>
  </si>
  <si>
    <t>Differentiation through technology; Data-driven instruction; Supporting struggling learners</t>
  </si>
  <si>
    <t>Our inclusion-section Math coach — his IEP students need stronger tech scaffolding (text-to-speech, leveled practice). He's hungry for specifics.</t>
  </si>
  <si>
    <t>Differentiation</t>
  </si>
  <si>
    <t>Focus on ML student scaffolding via Google Translate + Newsela workflows; she hosts our highest ML density.</t>
  </si>
  <si>
    <t>Improved academic outcomes (MAP, ERB); Improved assessment data use; Increased teacher confidence; Increased student engagement</t>
  </si>
  <si>
    <t>Differentiation through technology stops being a mystery and starts being a standard.</t>
  </si>
  <si>
    <t>Teacher Needs — Aggregated Results</t>
  </si>
  <si>
    <t>Formula-driven tallies against the Form Responses sheet. Update the raw data and these will recalculate.</t>
  </si>
  <si>
    <t>Top Technology Challenges</t>
  </si>
  <si>
    <t>Option</t>
  </si>
  <si>
    <t>Count</t>
  </si>
  <si>
    <t>Percent</t>
  </si>
  <si>
    <t>Bar</t>
  </si>
  <si>
    <t>Not enough training</t>
  </si>
  <si>
    <t>Differentiation support</t>
  </si>
  <si>
    <t>Lesson planning support</t>
  </si>
  <si>
    <t>Troubleshooting issues</t>
  </si>
  <si>
    <t>Classroom management</t>
  </si>
  <si>
    <t>Most-Requested PD Topics</t>
  </si>
  <si>
    <t>Using technology for differentiation</t>
  </si>
  <si>
    <t>Student engagement strategies</t>
  </si>
  <si>
    <t>Using data to adjust instruction</t>
  </si>
  <si>
    <t>Supporting struggling learners</t>
  </si>
  <si>
    <t>Interest in 1:1 Coaching</t>
  </si>
  <si>
    <t>Confidence Using Tech for Differentiation (Scale 1–5)</t>
  </si>
  <si>
    <t>Rating</t>
  </si>
  <si>
    <t>Teachers rating ≤3 (differentiation confidence)</t>
  </si>
  <si>
    <t>Administrator Priorities — Aggregated Results</t>
  </si>
  <si>
    <t>Formula-driven tallies against the Form Responses sheet.</t>
  </si>
  <si>
    <t>Supporting data-driven instruction</t>
  </si>
  <si>
    <t>Managing student devices and distractions</t>
  </si>
  <si>
    <t>Differentiation through technology</t>
  </si>
  <si>
    <t>Teacher technology integration</t>
  </si>
  <si>
    <t>Student-centered learning</t>
  </si>
  <si>
    <t>Passive student use</t>
  </si>
  <si>
    <t>Technology replacing instruction</t>
  </si>
  <si>
    <t>Classroom management issues</t>
  </si>
  <si>
    <t>Inconsistent expectations</t>
  </si>
  <si>
    <t>Weak writing/typing skills</t>
  </si>
  <si>
    <t>Focus Areas Admins Want PD On</t>
  </si>
  <si>
    <t>Desired Outcomes (Admin-defined Success Metrics)</t>
  </si>
  <si>
    <t>Improved academic outcomes (MAP, ERB)</t>
  </si>
  <si>
    <t>Increased teacher confidence</t>
  </si>
  <si>
    <t>Improved assessment data use</t>
  </si>
  <si>
    <t>Consistent technology use</t>
  </si>
  <si>
    <t>Increased student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</si>
</sst>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3A68"/>
      <name val="Cambria"/>
      <charset val="1"/>
    </font>
    <font>
      <i/>
      <sz val="11"/>
      <color rgb="FF4A4A4A"/>
      <name val="Cambria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1F3A68"/>
      <name val="Calibri"/>
      <charset val="1"/>
    </font>
    <font>
      <sz val="10"/>
      <color rgb="FFB22222"/>
      <name val="Calibri"/>
      <charset val="1"/>
    </font>
    <font>
      <sz val="10"/>
      <color rgb="FF1F3A68"/>
      <name val="Calibri"/>
      <charset val="1"/>
    </font>
    <font>
      <b/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B22222"/>
        <bgColor rgb="FF993366"/>
      </patternFill>
    </fill>
    <fill>
      <patternFill patternType="solid">
        <fgColor rgb="FF1F3A68"/>
        <bgColor rgb="FF333399"/>
      </patternFill>
    </fill>
    <fill>
      <patternFill patternType="solid">
        <fgColor rgb="FFF7F9FC"/>
        <bgColor rgb="FFFFFFFF"/>
      </patternFill>
    </fill>
    <fill>
      <patternFill patternType="solid">
        <fgColor rgb="FFE8EEF7"/>
        <bgColor rgb="FFF7F9FC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 applyBorder="1"/>
    <xf numFmtId="0" fontId="3" fillId="2" borderId="0" xfId="0" applyFont="1" applyFill="1" applyBorder="1"/>
    <xf numFmtId="0" fontId="2" fillId="0" borderId="0" xfId="0" applyFont="1" applyBorder="1"/>
    <xf numFmtId="0" fontId="1" fillId="0" borderId="0" xfId="0" applyFont="1" applyBorder="1"/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/>
    </xf>
    <xf numFmtId="0" fontId="4" fillId="0" borderId="1" xfId="0" applyFont="1" applyBorder="1"/>
    <xf numFmtId="164" fontId="4" fillId="0" borderId="1" xfId="0" applyNumberFormat="1" applyFont="1" applyBorder="1"/>
    <xf numFmtId="0" fontId="6" fillId="0" borderId="1" xfId="0" applyFont="1" applyBorder="1"/>
    <xf numFmtId="0" fontId="5" fillId="5" borderId="1" xfId="0" applyFont="1" applyFill="1" applyBorder="1"/>
    <xf numFmtId="0" fontId="7" fillId="0" borderId="1" xfId="0" applyFont="1" applyBorder="1"/>
    <xf numFmtId="0" fontId="8" fillId="5" borderId="1" xfId="0" applyFont="1" applyFill="1" applyBorder="1"/>
    <xf numFmtId="164" fontId="8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E8EE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8"/>
      <rgbColor rgb="FF339966"/>
      <rgbColor rgb="FF003300"/>
      <rgbColor rgb="FF333300"/>
      <rgbColor rgb="FFB22222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zoomScaleNormal="100" workbookViewId="0">
      <pane ySplit="5" topLeftCell="A26" activePane="bottomLeft" state="frozen"/>
      <selection pane="bottomLeft" activeCell="C27" sqref="C27:C30"/>
    </sheetView>
  </sheetViews>
  <sheetFormatPr defaultColWidth="8.6640625" defaultRowHeight="14.4" x14ac:dyDescent="0.3"/>
  <cols>
    <col min="1" max="1" width="18" customWidth="1"/>
    <col min="2" max="2" width="14" customWidth="1"/>
    <col min="3" max="3" width="22" customWidth="1"/>
    <col min="4" max="4" width="28" customWidth="1"/>
    <col min="5" max="5" width="34" customWidth="1"/>
    <col min="6" max="6" width="20" customWidth="1"/>
    <col min="7" max="7" width="30" customWidth="1"/>
    <col min="8" max="8" width="14" customWidth="1"/>
    <col min="9" max="10" width="36" customWidth="1"/>
    <col min="11" max="11" width="20" customWidth="1"/>
    <col min="12" max="12" width="40" customWidth="1"/>
    <col min="13" max="15" width="36" customWidth="1"/>
    <col min="16" max="16" width="40" customWidth="1"/>
  </cols>
  <sheetData>
    <row r="1" spans="1:16" ht="17.399999999999999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6" ht="42" customHeight="1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spans="1:16" ht="60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>
        <v>2</v>
      </c>
      <c r="I6" s="6" t="s">
        <v>22</v>
      </c>
      <c r="J6" s="6" t="s">
        <v>23</v>
      </c>
      <c r="K6" s="6" t="s">
        <v>24</v>
      </c>
      <c r="L6" s="6" t="s">
        <v>25</v>
      </c>
    </row>
    <row r="7" spans="1:16" ht="60" customHeight="1" x14ac:dyDescent="0.3">
      <c r="A7" s="7" t="s">
        <v>26</v>
      </c>
      <c r="B7" s="7" t="s">
        <v>16</v>
      </c>
      <c r="C7" s="7" t="s">
        <v>27</v>
      </c>
      <c r="D7" s="7" t="s">
        <v>28</v>
      </c>
      <c r="E7" s="7" t="s">
        <v>29</v>
      </c>
      <c r="F7" s="7" t="s">
        <v>20</v>
      </c>
      <c r="G7" s="7" t="s">
        <v>30</v>
      </c>
      <c r="H7" s="7">
        <v>3</v>
      </c>
      <c r="I7" s="7" t="s">
        <v>31</v>
      </c>
      <c r="J7" s="7" t="s">
        <v>32</v>
      </c>
      <c r="K7" s="7" t="s">
        <v>24</v>
      </c>
      <c r="L7" s="7" t="s">
        <v>33</v>
      </c>
    </row>
    <row r="8" spans="1:16" ht="60" customHeight="1" x14ac:dyDescent="0.3">
      <c r="A8" s="6" t="s">
        <v>34</v>
      </c>
      <c r="B8" s="6" t="s">
        <v>16</v>
      </c>
      <c r="C8" s="6" t="s">
        <v>35</v>
      </c>
      <c r="D8" s="6" t="s">
        <v>36</v>
      </c>
      <c r="E8" s="6" t="s">
        <v>29</v>
      </c>
      <c r="F8" s="6" t="s">
        <v>37</v>
      </c>
      <c r="G8" s="6" t="s">
        <v>38</v>
      </c>
      <c r="H8" s="6">
        <v>3</v>
      </c>
      <c r="I8" s="6" t="s">
        <v>39</v>
      </c>
      <c r="J8" s="6" t="s">
        <v>40</v>
      </c>
      <c r="K8" s="6" t="s">
        <v>24</v>
      </c>
      <c r="L8" s="6" t="s">
        <v>41</v>
      </c>
    </row>
    <row r="9" spans="1:16" ht="60" customHeight="1" x14ac:dyDescent="0.3">
      <c r="A9" s="7" t="s">
        <v>42</v>
      </c>
      <c r="B9" s="7" t="s">
        <v>16</v>
      </c>
      <c r="C9" s="7"/>
      <c r="D9" s="7" t="s">
        <v>44</v>
      </c>
      <c r="E9" s="7" t="s">
        <v>29</v>
      </c>
      <c r="F9" s="7" t="s">
        <v>20</v>
      </c>
      <c r="G9" s="7" t="s">
        <v>45</v>
      </c>
      <c r="H9" s="7">
        <v>4</v>
      </c>
      <c r="I9" s="7" t="s">
        <v>46</v>
      </c>
      <c r="J9" s="7" t="s">
        <v>47</v>
      </c>
      <c r="K9" s="7" t="s">
        <v>48</v>
      </c>
      <c r="L9" s="7" t="s">
        <v>49</v>
      </c>
    </row>
    <row r="10" spans="1:16" ht="60" customHeight="1" x14ac:dyDescent="0.3">
      <c r="A10" s="6" t="s">
        <v>50</v>
      </c>
      <c r="B10" s="6" t="s">
        <v>16</v>
      </c>
      <c r="C10" s="6"/>
      <c r="D10" s="6" t="s">
        <v>51</v>
      </c>
      <c r="E10" s="6" t="s">
        <v>29</v>
      </c>
      <c r="F10" s="6" t="s">
        <v>20</v>
      </c>
      <c r="G10" s="6" t="s">
        <v>52</v>
      </c>
      <c r="H10" s="6">
        <v>2</v>
      </c>
      <c r="I10" s="6" t="s">
        <v>53</v>
      </c>
      <c r="J10" s="6" t="s">
        <v>54</v>
      </c>
      <c r="K10" s="6" t="s">
        <v>24</v>
      </c>
      <c r="L10" s="6" t="s">
        <v>55</v>
      </c>
    </row>
    <row r="11" spans="1:16" ht="60" customHeight="1" x14ac:dyDescent="0.3">
      <c r="A11" s="7" t="s">
        <v>56</v>
      </c>
      <c r="B11" s="7" t="s">
        <v>16</v>
      </c>
      <c r="C11" s="7"/>
      <c r="D11" s="7" t="s">
        <v>57</v>
      </c>
      <c r="E11" s="7" t="s">
        <v>29</v>
      </c>
      <c r="F11" s="7" t="s">
        <v>37</v>
      </c>
      <c r="G11" s="7" t="s">
        <v>58</v>
      </c>
      <c r="H11" s="7">
        <v>4</v>
      </c>
      <c r="I11" s="7" t="s">
        <v>59</v>
      </c>
      <c r="J11" s="7" t="s">
        <v>60</v>
      </c>
      <c r="K11" s="7" t="s">
        <v>48</v>
      </c>
      <c r="L11" s="7" t="s">
        <v>61</v>
      </c>
    </row>
    <row r="12" spans="1:16" ht="60" customHeight="1" x14ac:dyDescent="0.3">
      <c r="A12" s="6" t="s">
        <v>62</v>
      </c>
      <c r="B12" s="6" t="s">
        <v>16</v>
      </c>
      <c r="C12" s="6"/>
      <c r="D12" s="6" t="s">
        <v>28</v>
      </c>
      <c r="E12" s="6" t="s">
        <v>29</v>
      </c>
      <c r="F12" s="6" t="s">
        <v>37</v>
      </c>
      <c r="G12" s="6" t="s">
        <v>63</v>
      </c>
      <c r="H12" s="6">
        <v>3</v>
      </c>
      <c r="I12" s="6" t="s">
        <v>64</v>
      </c>
      <c r="J12" s="6" t="s">
        <v>65</v>
      </c>
      <c r="K12" s="6" t="s">
        <v>24</v>
      </c>
      <c r="L12" s="6" t="s">
        <v>66</v>
      </c>
    </row>
    <row r="13" spans="1:16" ht="60" customHeight="1" x14ac:dyDescent="0.3">
      <c r="A13" s="7" t="s">
        <v>67</v>
      </c>
      <c r="B13" s="7" t="s">
        <v>16</v>
      </c>
      <c r="C13" s="7"/>
      <c r="D13" s="7" t="s">
        <v>69</v>
      </c>
      <c r="E13" s="7" t="s">
        <v>29</v>
      </c>
      <c r="F13" s="7" t="s">
        <v>20</v>
      </c>
      <c r="G13" s="7" t="s">
        <v>70</v>
      </c>
      <c r="H13" s="7">
        <v>2</v>
      </c>
      <c r="I13" s="7" t="s">
        <v>71</v>
      </c>
      <c r="J13" s="7" t="s">
        <v>72</v>
      </c>
      <c r="K13" s="7" t="s">
        <v>24</v>
      </c>
      <c r="L13" s="7" t="s">
        <v>73</v>
      </c>
    </row>
    <row r="14" spans="1:16" ht="60" customHeight="1" x14ac:dyDescent="0.3">
      <c r="A14" s="6" t="s">
        <v>74</v>
      </c>
      <c r="B14" s="6" t="s">
        <v>16</v>
      </c>
      <c r="C14" s="6"/>
      <c r="D14" s="6" t="s">
        <v>75</v>
      </c>
      <c r="E14" s="6" t="s">
        <v>29</v>
      </c>
      <c r="F14" s="6" t="s">
        <v>20</v>
      </c>
      <c r="G14" s="6" t="s">
        <v>76</v>
      </c>
      <c r="H14" s="6">
        <v>4</v>
      </c>
      <c r="I14" s="6" t="s">
        <v>46</v>
      </c>
      <c r="J14" s="6" t="s">
        <v>77</v>
      </c>
      <c r="K14" s="6" t="s">
        <v>48</v>
      </c>
      <c r="L14" s="6" t="s">
        <v>78</v>
      </c>
    </row>
    <row r="15" spans="1:16" ht="60" customHeight="1" x14ac:dyDescent="0.3">
      <c r="A15" s="7" t="s">
        <v>79</v>
      </c>
      <c r="B15" s="7" t="s">
        <v>16</v>
      </c>
      <c r="C15" s="7"/>
      <c r="D15" s="7" t="s">
        <v>18</v>
      </c>
      <c r="E15" s="7" t="s">
        <v>29</v>
      </c>
      <c r="F15" s="7" t="s">
        <v>37</v>
      </c>
      <c r="G15" s="7" t="s">
        <v>80</v>
      </c>
      <c r="H15" s="7">
        <v>3</v>
      </c>
      <c r="I15" s="7" t="s">
        <v>81</v>
      </c>
      <c r="J15" s="7" t="s">
        <v>82</v>
      </c>
      <c r="K15" s="7" t="s">
        <v>24</v>
      </c>
      <c r="L15" s="7" t="s">
        <v>83</v>
      </c>
    </row>
    <row r="16" spans="1:16" ht="60" customHeight="1" x14ac:dyDescent="0.3">
      <c r="A16" s="6" t="s">
        <v>84</v>
      </c>
      <c r="B16" s="6" t="s">
        <v>16</v>
      </c>
      <c r="C16" s="6"/>
      <c r="D16" s="6" t="s">
        <v>51</v>
      </c>
      <c r="E16" s="6" t="s">
        <v>29</v>
      </c>
      <c r="F16" s="6" t="s">
        <v>20</v>
      </c>
      <c r="G16" s="6" t="s">
        <v>85</v>
      </c>
      <c r="H16" s="6">
        <v>4</v>
      </c>
      <c r="I16" s="6" t="s">
        <v>86</v>
      </c>
      <c r="J16" s="6" t="s">
        <v>87</v>
      </c>
      <c r="K16" s="6" t="s">
        <v>24</v>
      </c>
      <c r="L16" s="6" t="s">
        <v>88</v>
      </c>
    </row>
    <row r="17" spans="1:16" ht="60" customHeight="1" x14ac:dyDescent="0.3">
      <c r="A17" s="7" t="s">
        <v>89</v>
      </c>
      <c r="B17" s="7" t="s">
        <v>16</v>
      </c>
      <c r="C17" s="7"/>
      <c r="D17" s="7" t="s">
        <v>91</v>
      </c>
      <c r="E17" s="7" t="s">
        <v>29</v>
      </c>
      <c r="F17" s="7" t="s">
        <v>20</v>
      </c>
      <c r="G17" s="7" t="s">
        <v>92</v>
      </c>
      <c r="H17" s="7">
        <v>3</v>
      </c>
      <c r="I17" s="7" t="s">
        <v>64</v>
      </c>
      <c r="J17" s="7" t="s">
        <v>93</v>
      </c>
      <c r="K17" s="7" t="s">
        <v>24</v>
      </c>
      <c r="L17" s="7" t="s">
        <v>94</v>
      </c>
    </row>
    <row r="18" spans="1:16" ht="60" customHeight="1" x14ac:dyDescent="0.3">
      <c r="A18" s="6" t="s">
        <v>95</v>
      </c>
      <c r="B18" s="6" t="s">
        <v>16</v>
      </c>
      <c r="C18" s="6"/>
      <c r="D18" s="6" t="s">
        <v>28</v>
      </c>
      <c r="E18" s="6" t="s">
        <v>29</v>
      </c>
      <c r="F18" s="6" t="s">
        <v>20</v>
      </c>
      <c r="G18" s="6" t="s">
        <v>97</v>
      </c>
      <c r="H18" s="6">
        <v>2</v>
      </c>
      <c r="I18" s="6" t="s">
        <v>98</v>
      </c>
      <c r="J18" s="6" t="s">
        <v>65</v>
      </c>
      <c r="K18" s="6" t="s">
        <v>24</v>
      </c>
      <c r="L18" s="6" t="s">
        <v>99</v>
      </c>
    </row>
    <row r="19" spans="1:16" ht="60" customHeight="1" x14ac:dyDescent="0.3">
      <c r="A19" s="7" t="s">
        <v>100</v>
      </c>
      <c r="B19" s="7" t="s">
        <v>16</v>
      </c>
      <c r="C19" s="7"/>
      <c r="D19" s="7" t="s">
        <v>57</v>
      </c>
      <c r="E19" s="7" t="s">
        <v>29</v>
      </c>
      <c r="F19" s="7" t="s">
        <v>37</v>
      </c>
      <c r="G19" s="7" t="s">
        <v>101</v>
      </c>
      <c r="H19" s="7">
        <v>4</v>
      </c>
      <c r="I19" s="7" t="s">
        <v>102</v>
      </c>
      <c r="J19" s="7" t="s">
        <v>60</v>
      </c>
      <c r="K19" s="7" t="s">
        <v>48</v>
      </c>
      <c r="L19" s="7" t="s">
        <v>103</v>
      </c>
    </row>
    <row r="20" spans="1:16" ht="60" customHeight="1" x14ac:dyDescent="0.3">
      <c r="A20" s="6" t="s">
        <v>104</v>
      </c>
      <c r="B20" s="6" t="s">
        <v>16</v>
      </c>
      <c r="C20" s="6"/>
      <c r="D20" s="6" t="s">
        <v>18</v>
      </c>
      <c r="E20" s="6" t="s">
        <v>29</v>
      </c>
      <c r="F20" s="6" t="s">
        <v>20</v>
      </c>
      <c r="G20" s="6" t="s">
        <v>52</v>
      </c>
      <c r="H20" s="6">
        <v>3</v>
      </c>
      <c r="I20" s="6" t="s">
        <v>53</v>
      </c>
      <c r="J20" s="6" t="s">
        <v>54</v>
      </c>
      <c r="K20" s="6" t="s">
        <v>24</v>
      </c>
      <c r="L20" s="6" t="s">
        <v>105</v>
      </c>
    </row>
    <row r="21" spans="1:16" ht="60" customHeight="1" x14ac:dyDescent="0.3">
      <c r="A21" s="7" t="s">
        <v>106</v>
      </c>
      <c r="B21" s="7" t="s">
        <v>16</v>
      </c>
      <c r="C21" s="7"/>
      <c r="D21" s="7" t="s">
        <v>108</v>
      </c>
      <c r="E21" s="7" t="s">
        <v>29</v>
      </c>
      <c r="F21" s="7" t="s">
        <v>20</v>
      </c>
      <c r="G21" s="7" t="s">
        <v>109</v>
      </c>
      <c r="H21" s="7">
        <v>2</v>
      </c>
      <c r="I21" s="7" t="s">
        <v>110</v>
      </c>
      <c r="J21" s="7" t="s">
        <v>111</v>
      </c>
      <c r="K21" s="7" t="s">
        <v>24</v>
      </c>
      <c r="L21" s="7" t="s">
        <v>112</v>
      </c>
    </row>
    <row r="22" spans="1:16" ht="60" customHeight="1" x14ac:dyDescent="0.3">
      <c r="A22" s="6" t="s">
        <v>113</v>
      </c>
      <c r="B22" s="6" t="s">
        <v>16</v>
      </c>
      <c r="C22" s="6"/>
      <c r="D22" s="6" t="s">
        <v>44</v>
      </c>
      <c r="E22" s="6" t="s">
        <v>29</v>
      </c>
      <c r="F22" s="6" t="s">
        <v>37</v>
      </c>
      <c r="G22" s="6" t="s">
        <v>76</v>
      </c>
      <c r="H22" s="6">
        <v>3</v>
      </c>
      <c r="I22" s="6" t="s">
        <v>114</v>
      </c>
      <c r="J22" s="6" t="s">
        <v>47</v>
      </c>
      <c r="K22" s="6" t="s">
        <v>48</v>
      </c>
      <c r="L22" s="6" t="s">
        <v>115</v>
      </c>
    </row>
    <row r="23" spans="1:16" ht="60" customHeight="1" x14ac:dyDescent="0.3">
      <c r="A23" s="7" t="s">
        <v>116</v>
      </c>
      <c r="B23" s="7" t="s">
        <v>16</v>
      </c>
      <c r="C23" s="7"/>
      <c r="D23" s="7" t="s">
        <v>75</v>
      </c>
      <c r="E23" s="7" t="s">
        <v>29</v>
      </c>
      <c r="F23" s="7" t="s">
        <v>20</v>
      </c>
      <c r="G23" s="7" t="s">
        <v>117</v>
      </c>
      <c r="H23" s="7">
        <v>4</v>
      </c>
      <c r="I23" s="7" t="s">
        <v>118</v>
      </c>
      <c r="J23" s="7" t="s">
        <v>119</v>
      </c>
      <c r="K23" s="7" t="s">
        <v>120</v>
      </c>
      <c r="L23" s="7" t="s">
        <v>121</v>
      </c>
    </row>
    <row r="25" spans="1:16" x14ac:dyDescent="0.3">
      <c r="A25" s="2" t="s">
        <v>122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42" customHeight="1" x14ac:dyDescent="0.3">
      <c r="A26" s="5" t="s">
        <v>3</v>
      </c>
      <c r="B26" s="5" t="s">
        <v>4</v>
      </c>
      <c r="C26" s="5" t="s">
        <v>123</v>
      </c>
      <c r="D26" s="5" t="s">
        <v>124</v>
      </c>
      <c r="E26" s="5" t="s">
        <v>125</v>
      </c>
      <c r="F26" s="5" t="s">
        <v>126</v>
      </c>
      <c r="G26" s="5" t="s">
        <v>127</v>
      </c>
      <c r="H26" s="5" t="s">
        <v>128</v>
      </c>
      <c r="I26" s="5" t="s">
        <v>129</v>
      </c>
      <c r="J26" s="5" t="s">
        <v>130</v>
      </c>
      <c r="K26" s="5" t="s">
        <v>131</v>
      </c>
      <c r="L26" s="5" t="s">
        <v>132</v>
      </c>
      <c r="M26" s="5" t="s">
        <v>133</v>
      </c>
      <c r="N26" s="5" t="s">
        <v>134</v>
      </c>
      <c r="O26" s="5" t="s">
        <v>135</v>
      </c>
      <c r="P26" s="5" t="s">
        <v>136</v>
      </c>
    </row>
    <row r="27" spans="1:16" ht="109.5" customHeight="1" x14ac:dyDescent="0.3">
      <c r="A27" s="7" t="s">
        <v>137</v>
      </c>
      <c r="B27" s="7" t="s">
        <v>138</v>
      </c>
      <c r="C27" s="7"/>
      <c r="D27" s="7" t="s">
        <v>139</v>
      </c>
      <c r="E27" s="7" t="s">
        <v>140</v>
      </c>
      <c r="F27" s="7" t="s">
        <v>141</v>
      </c>
      <c r="G27" s="7" t="s">
        <v>142</v>
      </c>
      <c r="H27" s="7" t="s">
        <v>143</v>
      </c>
      <c r="I27" s="7" t="s">
        <v>17</v>
      </c>
      <c r="J27" s="7" t="s">
        <v>144</v>
      </c>
      <c r="K27" s="7" t="s">
        <v>145</v>
      </c>
      <c r="L27" s="7" t="s">
        <v>27</v>
      </c>
      <c r="M27" s="7" t="s">
        <v>146</v>
      </c>
      <c r="N27" s="7" t="s">
        <v>147</v>
      </c>
      <c r="O27" s="7" t="s">
        <v>148</v>
      </c>
      <c r="P27" s="7" t="s">
        <v>149</v>
      </c>
    </row>
    <row r="28" spans="1:16" ht="109.5" customHeight="1" x14ac:dyDescent="0.3">
      <c r="A28" s="6" t="s">
        <v>150</v>
      </c>
      <c r="B28" s="6" t="s">
        <v>138</v>
      </c>
      <c r="C28" s="6"/>
      <c r="D28" s="6" t="s">
        <v>151</v>
      </c>
      <c r="E28" s="6" t="s">
        <v>152</v>
      </c>
      <c r="F28" s="6" t="s">
        <v>141</v>
      </c>
      <c r="G28" s="6" t="s">
        <v>153</v>
      </c>
      <c r="H28" s="6" t="s">
        <v>154</v>
      </c>
      <c r="I28" s="6" t="s">
        <v>35</v>
      </c>
      <c r="J28" s="6" t="s">
        <v>155</v>
      </c>
      <c r="K28" s="6" t="s">
        <v>156</v>
      </c>
      <c r="L28" s="6" t="s">
        <v>90</v>
      </c>
      <c r="M28" s="6" t="s">
        <v>157</v>
      </c>
      <c r="N28" s="6" t="s">
        <v>158</v>
      </c>
      <c r="O28" s="6" t="s">
        <v>159</v>
      </c>
      <c r="P28" s="6" t="s">
        <v>160</v>
      </c>
    </row>
    <row r="29" spans="1:16" ht="109.5" customHeight="1" x14ac:dyDescent="0.3">
      <c r="A29" s="7" t="s">
        <v>161</v>
      </c>
      <c r="B29" s="7" t="s">
        <v>138</v>
      </c>
      <c r="C29" s="7"/>
      <c r="D29" s="7" t="s">
        <v>162</v>
      </c>
      <c r="E29" s="7" t="s">
        <v>163</v>
      </c>
      <c r="F29" s="7" t="s">
        <v>141</v>
      </c>
      <c r="G29" s="7" t="s">
        <v>164</v>
      </c>
      <c r="H29" s="7" t="s">
        <v>165</v>
      </c>
      <c r="I29" s="7" t="s">
        <v>43</v>
      </c>
      <c r="J29" s="7" t="s">
        <v>166</v>
      </c>
      <c r="K29" s="7" t="s">
        <v>156</v>
      </c>
      <c r="L29" s="7" t="s">
        <v>96</v>
      </c>
      <c r="M29" s="7" t="s">
        <v>167</v>
      </c>
      <c r="N29" s="7" t="s">
        <v>156</v>
      </c>
      <c r="O29" s="7" t="s">
        <v>168</v>
      </c>
      <c r="P29" s="7" t="s">
        <v>169</v>
      </c>
    </row>
    <row r="30" spans="1:16" ht="109.5" customHeight="1" x14ac:dyDescent="0.3">
      <c r="A30" s="6" t="s">
        <v>170</v>
      </c>
      <c r="B30" s="6" t="s">
        <v>138</v>
      </c>
      <c r="C30" s="6"/>
      <c r="D30" s="6" t="s">
        <v>171</v>
      </c>
      <c r="E30" s="6" t="s">
        <v>172</v>
      </c>
      <c r="F30" s="6" t="s">
        <v>173</v>
      </c>
      <c r="G30" s="6" t="s">
        <v>174</v>
      </c>
      <c r="H30" s="6" t="s">
        <v>175</v>
      </c>
      <c r="I30" s="6" t="s">
        <v>68</v>
      </c>
      <c r="J30" s="6" t="s">
        <v>176</v>
      </c>
      <c r="K30" s="6" t="s">
        <v>177</v>
      </c>
      <c r="L30" s="6" t="s">
        <v>107</v>
      </c>
      <c r="M30" s="6" t="s">
        <v>178</v>
      </c>
      <c r="N30" s="6" t="s">
        <v>177</v>
      </c>
      <c r="O30" s="6" t="s">
        <v>179</v>
      </c>
      <c r="P30" s="6" t="s">
        <v>180</v>
      </c>
    </row>
  </sheetData>
  <mergeCells count="4">
    <mergeCell ref="A1:P1"/>
    <mergeCell ref="A2:P2"/>
    <mergeCell ref="A4:L4"/>
    <mergeCell ref="A25:P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zoomScaleNormal="100" workbookViewId="0"/>
  </sheetViews>
  <sheetFormatPr defaultColWidth="8.6640625" defaultRowHeight="14.4" x14ac:dyDescent="0.3"/>
  <cols>
    <col min="1" max="1" width="45" customWidth="1"/>
    <col min="2" max="2" width="10" customWidth="1"/>
    <col min="3" max="3" width="12" customWidth="1"/>
    <col min="4" max="4" width="26" customWidth="1"/>
  </cols>
  <sheetData>
    <row r="1" spans="1:4" ht="17.399999999999999" x14ac:dyDescent="0.3">
      <c r="A1" s="4" t="s">
        <v>181</v>
      </c>
      <c r="B1" s="4"/>
      <c r="C1" s="4"/>
      <c r="D1" s="4"/>
    </row>
    <row r="2" spans="1:4" x14ac:dyDescent="0.3">
      <c r="A2" s="3" t="s">
        <v>182</v>
      </c>
      <c r="B2" s="3"/>
      <c r="C2" s="3"/>
      <c r="D2" s="3"/>
    </row>
    <row r="4" spans="1:4" x14ac:dyDescent="0.3">
      <c r="A4" s="1" t="s">
        <v>183</v>
      </c>
      <c r="B4" s="1"/>
      <c r="C4" s="1"/>
      <c r="D4" s="1"/>
    </row>
    <row r="5" spans="1:4" x14ac:dyDescent="0.3">
      <c r="A5" s="8" t="s">
        <v>184</v>
      </c>
      <c r="B5" s="8" t="s">
        <v>185</v>
      </c>
      <c r="C5" s="8" t="s">
        <v>186</v>
      </c>
      <c r="D5" s="8" t="s">
        <v>187</v>
      </c>
    </row>
    <row r="6" spans="1:4" x14ac:dyDescent="0.3">
      <c r="A6" s="9" t="s">
        <v>46</v>
      </c>
      <c r="B6" s="9">
        <f>COUNTIF('Form Responses'!I6:I23,"*Students getting distracted*")</f>
        <v>14</v>
      </c>
      <c r="C6" s="10">
        <f t="shared" ref="C6:C13" si="0">B6/18</f>
        <v>0.77777777777777779</v>
      </c>
      <c r="D6" s="11" t="str">
        <f t="shared" ref="D6:D13" si="1">REPT("▮",ROUND(B6/18*20,0))</f>
        <v>▮▮▮▮▮▮▮▮▮▮▮▮▮▮▮▮</v>
      </c>
    </row>
    <row r="7" spans="1:4" x14ac:dyDescent="0.3">
      <c r="A7" s="9" t="s">
        <v>188</v>
      </c>
      <c r="B7" s="9">
        <f>COUNTIF('Form Responses'!I6:I23,"*Not enough training*")</f>
        <v>8</v>
      </c>
      <c r="C7" s="10">
        <f t="shared" si="0"/>
        <v>0.44444444444444442</v>
      </c>
      <c r="D7" s="11" t="str">
        <f t="shared" si="1"/>
        <v>▮▮▮▮▮▮▮▮▮</v>
      </c>
    </row>
    <row r="8" spans="1:4" x14ac:dyDescent="0.3">
      <c r="A8" s="9" t="s">
        <v>189</v>
      </c>
      <c r="B8" s="9">
        <f>COUNTIF('Form Responses'!I6:I23,"*Differentiation support*")</f>
        <v>6</v>
      </c>
      <c r="C8" s="10">
        <f t="shared" si="0"/>
        <v>0.33333333333333331</v>
      </c>
      <c r="D8" s="11" t="str">
        <f t="shared" si="1"/>
        <v>▮▮▮▮▮▮▮</v>
      </c>
    </row>
    <row r="9" spans="1:4" x14ac:dyDescent="0.3">
      <c r="A9" s="9" t="s">
        <v>118</v>
      </c>
      <c r="B9" s="9">
        <f>COUNTIF('Form Responses'!I6:I23,"*Lack of time*")</f>
        <v>3</v>
      </c>
      <c r="C9" s="10">
        <f t="shared" si="0"/>
        <v>0.16666666666666666</v>
      </c>
      <c r="D9" s="11" t="str">
        <f t="shared" si="1"/>
        <v>▮▮▮</v>
      </c>
    </row>
    <row r="10" spans="1:4" x14ac:dyDescent="0.3">
      <c r="A10" s="9" t="s">
        <v>190</v>
      </c>
      <c r="B10" s="9">
        <f>COUNTIF('Form Responses'!I6:I23,"*Lesson planning support*")</f>
        <v>3</v>
      </c>
      <c r="C10" s="10">
        <f t="shared" si="0"/>
        <v>0.16666666666666666</v>
      </c>
      <c r="D10" s="11" t="str">
        <f t="shared" si="1"/>
        <v>▮▮▮</v>
      </c>
    </row>
    <row r="11" spans="1:4" x14ac:dyDescent="0.3">
      <c r="A11" s="9" t="s">
        <v>191</v>
      </c>
      <c r="B11" s="9">
        <f>COUNTIF('Form Responses'!I6:I23,"*Troubleshooting issues*")</f>
        <v>1</v>
      </c>
      <c r="C11" s="10">
        <f t="shared" si="0"/>
        <v>5.5555555555555552E-2</v>
      </c>
      <c r="D11" s="11" t="str">
        <f t="shared" si="1"/>
        <v>▮</v>
      </c>
    </row>
    <row r="12" spans="1:4" x14ac:dyDescent="0.3">
      <c r="A12" s="9" t="s">
        <v>192</v>
      </c>
      <c r="B12" s="9">
        <f>COUNTIF('Form Responses'!I6:I23,"*Classroom management*")</f>
        <v>1</v>
      </c>
      <c r="C12" s="10">
        <f t="shared" si="0"/>
        <v>5.5555555555555552E-2</v>
      </c>
      <c r="D12" s="11" t="str">
        <f t="shared" si="1"/>
        <v>▮</v>
      </c>
    </row>
    <row r="13" spans="1:4" x14ac:dyDescent="0.3">
      <c r="A13" s="9" t="s">
        <v>102</v>
      </c>
      <c r="B13" s="9">
        <f>COUNTIF('Form Responses'!I6:I23,"*Concerns about effectiveness*")</f>
        <v>1</v>
      </c>
      <c r="C13" s="10">
        <f t="shared" si="0"/>
        <v>5.5555555555555552E-2</v>
      </c>
      <c r="D13" s="11" t="str">
        <f t="shared" si="1"/>
        <v>▮</v>
      </c>
    </row>
    <row r="15" spans="1:4" x14ac:dyDescent="0.3">
      <c r="A15" s="1" t="s">
        <v>193</v>
      </c>
      <c r="B15" s="1"/>
      <c r="C15" s="1"/>
      <c r="D15" s="1"/>
    </row>
    <row r="16" spans="1:4" x14ac:dyDescent="0.3">
      <c r="A16" s="8" t="s">
        <v>184</v>
      </c>
      <c r="B16" s="8" t="s">
        <v>185</v>
      </c>
      <c r="C16" s="8" t="s">
        <v>186</v>
      </c>
      <c r="D16" s="8" t="s">
        <v>187</v>
      </c>
    </row>
    <row r="17" spans="1:4" x14ac:dyDescent="0.3">
      <c r="A17" s="9" t="s">
        <v>156</v>
      </c>
      <c r="B17" s="9">
        <f>COUNTIF('Form Responses'!J6:J23,"*Classroom management with devices*")</f>
        <v>11</v>
      </c>
      <c r="C17" s="10">
        <f t="shared" ref="C17:C22" si="2">B17/18</f>
        <v>0.61111111111111116</v>
      </c>
      <c r="D17" s="11" t="str">
        <f t="shared" ref="D17:D22" si="3">REPT("▮",ROUND(B17/18*20,0))</f>
        <v>▮▮▮▮▮▮▮▮▮▮▮▮</v>
      </c>
    </row>
    <row r="18" spans="1:4" x14ac:dyDescent="0.3">
      <c r="A18" s="9" t="s">
        <v>60</v>
      </c>
      <c r="B18" s="9">
        <f>COUNTIF('Form Responses'!J6:J23,"*Creating interactive lessons*")</f>
        <v>10</v>
      </c>
      <c r="C18" s="10">
        <f t="shared" si="2"/>
        <v>0.55555555555555558</v>
      </c>
      <c r="D18" s="11" t="str">
        <f t="shared" si="3"/>
        <v>▮▮▮▮▮▮▮▮▮▮▮</v>
      </c>
    </row>
    <row r="19" spans="1:4" x14ac:dyDescent="0.3">
      <c r="A19" s="9" t="s">
        <v>194</v>
      </c>
      <c r="B19" s="9">
        <f>COUNTIF('Form Responses'!J6:J23,"*Using technology for differentiation*")</f>
        <v>6</v>
      </c>
      <c r="C19" s="10">
        <f t="shared" si="2"/>
        <v>0.33333333333333331</v>
      </c>
      <c r="D19" s="11" t="str">
        <f t="shared" si="3"/>
        <v>▮▮▮▮▮▮▮</v>
      </c>
    </row>
    <row r="20" spans="1:4" x14ac:dyDescent="0.3">
      <c r="A20" s="9" t="s">
        <v>195</v>
      </c>
      <c r="B20" s="9">
        <f>COUNTIF('Form Responses'!J6:J23,"*Student engagement strategies*")</f>
        <v>4</v>
      </c>
      <c r="C20" s="10">
        <f t="shared" si="2"/>
        <v>0.22222222222222221</v>
      </c>
      <c r="D20" s="11" t="str">
        <f t="shared" si="3"/>
        <v>▮▮▮▮</v>
      </c>
    </row>
    <row r="21" spans="1:4" x14ac:dyDescent="0.3">
      <c r="A21" s="9" t="s">
        <v>196</v>
      </c>
      <c r="B21" s="9">
        <f>COUNTIF('Form Responses'!J6:J23,"*Using data to adjust instruction*")</f>
        <v>4</v>
      </c>
      <c r="C21" s="10">
        <f t="shared" si="2"/>
        <v>0.22222222222222221</v>
      </c>
      <c r="D21" s="11" t="str">
        <f t="shared" si="3"/>
        <v>▮▮▮▮</v>
      </c>
    </row>
    <row r="22" spans="1:4" x14ac:dyDescent="0.3">
      <c r="A22" s="9" t="s">
        <v>197</v>
      </c>
      <c r="B22" s="9">
        <f>COUNTIF('Form Responses'!J6:J23,"*Supporting struggling learners*")</f>
        <v>2</v>
      </c>
      <c r="C22" s="10">
        <f t="shared" si="2"/>
        <v>0.1111111111111111</v>
      </c>
      <c r="D22" s="11" t="str">
        <f t="shared" si="3"/>
        <v>▮▮</v>
      </c>
    </row>
    <row r="24" spans="1:4" x14ac:dyDescent="0.3">
      <c r="A24" s="1" t="s">
        <v>198</v>
      </c>
      <c r="B24" s="1"/>
      <c r="C24" s="1"/>
      <c r="D24" s="1"/>
    </row>
    <row r="25" spans="1:4" x14ac:dyDescent="0.3">
      <c r="A25" s="8" t="s">
        <v>184</v>
      </c>
      <c r="B25" s="8" t="s">
        <v>185</v>
      </c>
      <c r="C25" s="8" t="s">
        <v>186</v>
      </c>
      <c r="D25" s="8" t="s">
        <v>187</v>
      </c>
    </row>
    <row r="26" spans="1:4" x14ac:dyDescent="0.3">
      <c r="A26" s="9" t="s">
        <v>24</v>
      </c>
      <c r="B26" s="9">
        <f>COUNTIF('Form Responses'!K6:K23,"Yes")</f>
        <v>12</v>
      </c>
      <c r="C26" s="10">
        <f>B26/18</f>
        <v>0.66666666666666663</v>
      </c>
      <c r="D26" s="11" t="str">
        <f>REPT("▮",ROUND(B26/18*20,0))</f>
        <v>▮▮▮▮▮▮▮▮▮▮▮▮▮</v>
      </c>
    </row>
    <row r="27" spans="1:4" x14ac:dyDescent="0.3">
      <c r="A27" s="9" t="s">
        <v>48</v>
      </c>
      <c r="B27" s="9">
        <f>COUNTIF('Form Responses'!K6:K23,"Maybe")</f>
        <v>5</v>
      </c>
      <c r="C27" s="10">
        <f>B27/18</f>
        <v>0.27777777777777779</v>
      </c>
      <c r="D27" s="11" t="str">
        <f>REPT("▮",ROUND(B27/18*20,0))</f>
        <v>▮▮▮▮▮▮</v>
      </c>
    </row>
    <row r="28" spans="1:4" x14ac:dyDescent="0.3">
      <c r="A28" s="9" t="s">
        <v>120</v>
      </c>
      <c r="B28" s="9">
        <f>COUNTIF('Form Responses'!K6:K23,"No")</f>
        <v>1</v>
      </c>
      <c r="C28" s="10">
        <f>B28/18</f>
        <v>5.5555555555555552E-2</v>
      </c>
      <c r="D28" s="11" t="str">
        <f>REPT("▮",ROUND(B28/18*20,0))</f>
        <v>▮</v>
      </c>
    </row>
    <row r="30" spans="1:4" x14ac:dyDescent="0.3">
      <c r="A30" s="1" t="s">
        <v>199</v>
      </c>
      <c r="B30" s="1"/>
      <c r="C30" s="1"/>
      <c r="D30" s="1"/>
    </row>
    <row r="31" spans="1:4" x14ac:dyDescent="0.3">
      <c r="A31" s="12" t="s">
        <v>200</v>
      </c>
      <c r="B31" s="12" t="s">
        <v>185</v>
      </c>
      <c r="C31" s="12" t="s">
        <v>186</v>
      </c>
      <c r="D31" s="12" t="s">
        <v>187</v>
      </c>
    </row>
    <row r="32" spans="1:4" x14ac:dyDescent="0.3">
      <c r="A32" s="9">
        <v>1</v>
      </c>
      <c r="B32" s="9">
        <f>COUNTIF('Form Responses'!H6:H23,1)</f>
        <v>0</v>
      </c>
      <c r="C32" s="10">
        <f>B32/18</f>
        <v>0</v>
      </c>
      <c r="D32" s="13" t="str">
        <f>REPT("▮",ROUND(B32/18*20,0))</f>
        <v/>
      </c>
    </row>
    <row r="33" spans="1:4" x14ac:dyDescent="0.3">
      <c r="A33" s="9">
        <v>2</v>
      </c>
      <c r="B33" s="9">
        <f>COUNTIF('Form Responses'!H6:H23,2)</f>
        <v>5</v>
      </c>
      <c r="C33" s="10">
        <f>B33/18</f>
        <v>0.27777777777777779</v>
      </c>
      <c r="D33" s="13" t="str">
        <f>REPT("▮",ROUND(B33/18*20,0))</f>
        <v>▮▮▮▮▮▮</v>
      </c>
    </row>
    <row r="34" spans="1:4" x14ac:dyDescent="0.3">
      <c r="A34" s="9">
        <v>3</v>
      </c>
      <c r="B34" s="9">
        <f>COUNTIF('Form Responses'!H6:H23,3)</f>
        <v>7</v>
      </c>
      <c r="C34" s="10">
        <f>B34/18</f>
        <v>0.3888888888888889</v>
      </c>
      <c r="D34" s="13" t="str">
        <f>REPT("▮",ROUND(B34/18*20,0))</f>
        <v>▮▮▮▮▮▮▮▮</v>
      </c>
    </row>
    <row r="35" spans="1:4" x14ac:dyDescent="0.3">
      <c r="A35" s="9">
        <v>4</v>
      </c>
      <c r="B35" s="9">
        <f>COUNTIF('Form Responses'!H6:H23,4)</f>
        <v>6</v>
      </c>
      <c r="C35" s="10">
        <f>B35/18</f>
        <v>0.33333333333333331</v>
      </c>
      <c r="D35" s="13" t="str">
        <f>REPT("▮",ROUND(B35/18*20,0))</f>
        <v>▮▮▮▮▮▮▮</v>
      </c>
    </row>
    <row r="36" spans="1:4" x14ac:dyDescent="0.3">
      <c r="A36" s="9">
        <v>5</v>
      </c>
      <c r="B36" s="9">
        <f>COUNTIF('Form Responses'!H6:H23,5)</f>
        <v>0</v>
      </c>
      <c r="C36" s="10">
        <f>B36/18</f>
        <v>0</v>
      </c>
      <c r="D36" s="13" t="str">
        <f>REPT("▮",ROUND(B36/18*20,0))</f>
        <v/>
      </c>
    </row>
    <row r="38" spans="1:4" x14ac:dyDescent="0.3">
      <c r="A38" s="14" t="s">
        <v>201</v>
      </c>
      <c r="B38" s="14">
        <f>COUNTIF('Form Responses'!H6:H23,"&lt;=3")</f>
        <v>12</v>
      </c>
      <c r="C38" s="15">
        <f>B38/18</f>
        <v>0.66666666666666663</v>
      </c>
    </row>
  </sheetData>
  <mergeCells count="6">
    <mergeCell ref="A30:D30"/>
    <mergeCell ref="A1:D1"/>
    <mergeCell ref="A2:D2"/>
    <mergeCell ref="A4:D4"/>
    <mergeCell ref="A15:D15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zoomScaleNormal="100" workbookViewId="0"/>
  </sheetViews>
  <sheetFormatPr defaultColWidth="8.6640625" defaultRowHeight="14.4" x14ac:dyDescent="0.3"/>
  <cols>
    <col min="1" max="1" width="48" customWidth="1"/>
    <col min="2" max="2" width="10" customWidth="1"/>
    <col min="3" max="3" width="12" customWidth="1"/>
    <col min="4" max="4" width="26" customWidth="1"/>
  </cols>
  <sheetData>
    <row r="1" spans="1:4" ht="17.399999999999999" x14ac:dyDescent="0.3">
      <c r="A1" s="4" t="s">
        <v>202</v>
      </c>
      <c r="B1" s="4"/>
      <c r="C1" s="4"/>
      <c r="D1" s="4"/>
    </row>
    <row r="2" spans="1:4" x14ac:dyDescent="0.3">
      <c r="A2" s="3" t="s">
        <v>203</v>
      </c>
      <c r="B2" s="3"/>
      <c r="C2" s="3"/>
      <c r="D2" s="3"/>
    </row>
    <row r="4" spans="1:4" x14ac:dyDescent="0.3">
      <c r="A4" s="1" t="s">
        <v>125</v>
      </c>
      <c r="B4" s="1"/>
      <c r="C4" s="1"/>
      <c r="D4" s="1"/>
    </row>
    <row r="5" spans="1:4" x14ac:dyDescent="0.3">
      <c r="A5" s="12" t="s">
        <v>184</v>
      </c>
      <c r="B5" s="12" t="s">
        <v>185</v>
      </c>
      <c r="C5" s="12" t="s">
        <v>186</v>
      </c>
      <c r="D5" s="12" t="s">
        <v>187</v>
      </c>
    </row>
    <row r="6" spans="1:4" x14ac:dyDescent="0.3">
      <c r="A6" s="9" t="s">
        <v>204</v>
      </c>
      <c r="B6" s="9">
        <f>COUNTIF('Form Responses'!E27:E30,"*Supporting data-driven instruction*")</f>
        <v>3</v>
      </c>
      <c r="C6" s="10">
        <f>B6/4</f>
        <v>0.75</v>
      </c>
      <c r="D6" s="13" t="str">
        <f>REPT("▮",ROUND(B6/4*20,0))</f>
        <v>▮▮▮▮▮▮▮▮▮▮▮▮▮▮▮</v>
      </c>
    </row>
    <row r="7" spans="1:4" x14ac:dyDescent="0.3">
      <c r="A7" s="9" t="s">
        <v>205</v>
      </c>
      <c r="B7" s="9">
        <f>COUNTIF('Form Responses'!E27:E30,"*Managing student devices*")</f>
        <v>2</v>
      </c>
      <c r="C7" s="10">
        <f>B7/4</f>
        <v>0.5</v>
      </c>
      <c r="D7" s="13" t="str">
        <f>REPT("▮",ROUND(B7/4*20,0))</f>
        <v>▮▮▮▮▮▮▮▮▮▮</v>
      </c>
    </row>
    <row r="8" spans="1:4" x14ac:dyDescent="0.3">
      <c r="A8" s="9" t="s">
        <v>206</v>
      </c>
      <c r="B8" s="9">
        <f>COUNTIF('Form Responses'!E27:E30,"*Differentiation through technology*")</f>
        <v>2</v>
      </c>
      <c r="C8" s="10">
        <f>B8/4</f>
        <v>0.5</v>
      </c>
      <c r="D8" s="13" t="str">
        <f>REPT("▮",ROUND(B8/4*20,0))</f>
        <v>▮▮▮▮▮▮▮▮▮▮</v>
      </c>
    </row>
    <row r="9" spans="1:4" x14ac:dyDescent="0.3">
      <c r="A9" s="9" t="s">
        <v>207</v>
      </c>
      <c r="B9" s="9">
        <f>COUNTIF('Form Responses'!E27:E30,"*Teacher technology integration*")</f>
        <v>2</v>
      </c>
      <c r="C9" s="10">
        <f>B9/4</f>
        <v>0.5</v>
      </c>
      <c r="D9" s="13" t="str">
        <f>REPT("▮",ROUND(B9/4*20,0))</f>
        <v>▮▮▮▮▮▮▮▮▮▮</v>
      </c>
    </row>
    <row r="10" spans="1:4" x14ac:dyDescent="0.3">
      <c r="A10" s="9" t="s">
        <v>208</v>
      </c>
      <c r="B10" s="9">
        <f>COUNTIF('Form Responses'!E27:E30,"*Student-centered learning*")</f>
        <v>1</v>
      </c>
      <c r="C10" s="10">
        <f>B10/4</f>
        <v>0.25</v>
      </c>
      <c r="D10" s="13" t="str">
        <f>REPT("▮",ROUND(B10/4*20,0))</f>
        <v>▮▮▮▮▮</v>
      </c>
    </row>
    <row r="12" spans="1:4" x14ac:dyDescent="0.3">
      <c r="A12" s="1" t="s">
        <v>127</v>
      </c>
      <c r="B12" s="1"/>
      <c r="C12" s="1"/>
      <c r="D12" s="1"/>
    </row>
    <row r="13" spans="1:4" x14ac:dyDescent="0.3">
      <c r="A13" s="12" t="s">
        <v>184</v>
      </c>
      <c r="B13" s="12" t="s">
        <v>185</v>
      </c>
      <c r="C13" s="12" t="s">
        <v>186</v>
      </c>
      <c r="D13" s="12" t="s">
        <v>187</v>
      </c>
    </row>
    <row r="14" spans="1:4" x14ac:dyDescent="0.3">
      <c r="A14" s="9" t="s">
        <v>209</v>
      </c>
      <c r="B14" s="9">
        <f>COUNTIF('Form Responses'!G27:G30,"*Passive student use*")</f>
        <v>4</v>
      </c>
      <c r="C14" s="10">
        <f>B14/4</f>
        <v>1</v>
      </c>
      <c r="D14" s="13" t="str">
        <f>REPT("▮",ROUND(B14/4*20,0))</f>
        <v>▮▮▮▮▮▮▮▮▮▮▮▮▮▮▮▮▮▮▮▮</v>
      </c>
    </row>
    <row r="15" spans="1:4" x14ac:dyDescent="0.3">
      <c r="A15" s="9" t="s">
        <v>210</v>
      </c>
      <c r="B15" s="9">
        <f>COUNTIF('Form Responses'!G27:G30,"*Technology replacing instruction*")</f>
        <v>2</v>
      </c>
      <c r="C15" s="10">
        <f>B15/4</f>
        <v>0.5</v>
      </c>
      <c r="D15" s="13" t="str">
        <f>REPT("▮",ROUND(B15/4*20,0))</f>
        <v>▮▮▮▮▮▮▮▮▮▮</v>
      </c>
    </row>
    <row r="16" spans="1:4" x14ac:dyDescent="0.3">
      <c r="A16" s="9" t="s">
        <v>211</v>
      </c>
      <c r="B16" s="9">
        <f>COUNTIF('Form Responses'!G27:G30,"*Classroom management issues*")</f>
        <v>2</v>
      </c>
      <c r="C16" s="10">
        <f>B16/4</f>
        <v>0.5</v>
      </c>
      <c r="D16" s="13" t="str">
        <f>REPT("▮",ROUND(B16/4*20,0))</f>
        <v>▮▮▮▮▮▮▮▮▮▮</v>
      </c>
    </row>
    <row r="17" spans="1:4" x14ac:dyDescent="0.3">
      <c r="A17" s="9" t="s">
        <v>212</v>
      </c>
      <c r="B17" s="9">
        <f>COUNTIF('Form Responses'!G27:G30,"*Inconsistent expectations*")</f>
        <v>1</v>
      </c>
      <c r="C17" s="10">
        <f>B17/4</f>
        <v>0.25</v>
      </c>
      <c r="D17" s="13" t="str">
        <f>REPT("▮",ROUND(B17/4*20,0))</f>
        <v>▮▮▮▮▮</v>
      </c>
    </row>
    <row r="18" spans="1:4" x14ac:dyDescent="0.3">
      <c r="A18" s="9" t="s">
        <v>213</v>
      </c>
      <c r="B18" s="9">
        <f>COUNTIF('Form Responses'!G27:G30,"*Weak writing/typing skills*")</f>
        <v>2</v>
      </c>
      <c r="C18" s="10">
        <f>B18/4</f>
        <v>0.5</v>
      </c>
      <c r="D18" s="13" t="str">
        <f>REPT("▮",ROUND(B18/4*20,0))</f>
        <v>▮▮▮▮▮▮▮▮▮▮</v>
      </c>
    </row>
    <row r="20" spans="1:4" x14ac:dyDescent="0.3">
      <c r="A20" s="1" t="s">
        <v>214</v>
      </c>
      <c r="B20" s="1"/>
      <c r="C20" s="1"/>
      <c r="D20" s="1"/>
    </row>
    <row r="21" spans="1:4" x14ac:dyDescent="0.3">
      <c r="A21" s="12" t="s">
        <v>184</v>
      </c>
      <c r="B21" s="12" t="s">
        <v>185</v>
      </c>
      <c r="C21" s="12" t="s">
        <v>186</v>
      </c>
      <c r="D21" s="12" t="s">
        <v>187</v>
      </c>
    </row>
    <row r="22" spans="1:4" x14ac:dyDescent="0.3">
      <c r="A22" s="9" t="s">
        <v>145</v>
      </c>
      <c r="B22" s="9">
        <f>COUNTIF('Form Responses'!H27:H30,"*Data-driven instruction*")</f>
        <v>3</v>
      </c>
      <c r="C22" s="10">
        <f t="shared" ref="C22:C27" si="0">B22/4</f>
        <v>0.75</v>
      </c>
      <c r="D22" s="13" t="str">
        <f t="shared" ref="D22:D27" si="1">REPT("▮",ROUND(B22/4*20,0))</f>
        <v>▮▮▮▮▮▮▮▮▮▮▮▮▮▮▮</v>
      </c>
    </row>
    <row r="23" spans="1:4" x14ac:dyDescent="0.3">
      <c r="A23" s="9" t="s">
        <v>156</v>
      </c>
      <c r="B23" s="9">
        <f>COUNTIF('Form Responses'!H27:H30,"*Classroom management with devices*")</f>
        <v>2</v>
      </c>
      <c r="C23" s="10">
        <f t="shared" si="0"/>
        <v>0.5</v>
      </c>
      <c r="D23" s="13" t="str">
        <f t="shared" si="1"/>
        <v>▮▮▮▮▮▮▮▮▮▮</v>
      </c>
    </row>
    <row r="24" spans="1:4" x14ac:dyDescent="0.3">
      <c r="A24" s="9" t="s">
        <v>206</v>
      </c>
      <c r="B24" s="9">
        <f>COUNTIF('Form Responses'!H27:H30,"*Differentiation through technology*")</f>
        <v>2</v>
      </c>
      <c r="C24" s="10">
        <f t="shared" si="0"/>
        <v>0.5</v>
      </c>
      <c r="D24" s="13" t="str">
        <f t="shared" si="1"/>
        <v>▮▮▮▮▮▮▮▮▮▮</v>
      </c>
    </row>
    <row r="25" spans="1:4" x14ac:dyDescent="0.3">
      <c r="A25" s="9" t="s">
        <v>195</v>
      </c>
      <c r="B25" s="9">
        <f>COUNTIF('Form Responses'!H27:H30,"*Student engagement strategies*")</f>
        <v>2</v>
      </c>
      <c r="C25" s="10">
        <f t="shared" si="0"/>
        <v>0.5</v>
      </c>
      <c r="D25" s="13" t="str">
        <f t="shared" si="1"/>
        <v>▮▮▮▮▮▮▮▮▮▮</v>
      </c>
    </row>
    <row r="26" spans="1:4" x14ac:dyDescent="0.3">
      <c r="A26" s="9" t="s">
        <v>60</v>
      </c>
      <c r="B26" s="9">
        <f>COUNTIF('Form Responses'!H27:H30,"*Creating interactive lessons*")</f>
        <v>1</v>
      </c>
      <c r="C26" s="10">
        <f t="shared" si="0"/>
        <v>0.25</v>
      </c>
      <c r="D26" s="13" t="str">
        <f t="shared" si="1"/>
        <v>▮▮▮▮▮</v>
      </c>
    </row>
    <row r="27" spans="1:4" x14ac:dyDescent="0.3">
      <c r="A27" s="9" t="s">
        <v>197</v>
      </c>
      <c r="B27" s="9">
        <f>COUNTIF('Form Responses'!H27:H30,"*Supporting struggling learners*")</f>
        <v>1</v>
      </c>
      <c r="C27" s="10">
        <f t="shared" si="0"/>
        <v>0.25</v>
      </c>
      <c r="D27" s="13" t="str">
        <f t="shared" si="1"/>
        <v>▮▮▮▮▮</v>
      </c>
    </row>
    <row r="29" spans="1:4" x14ac:dyDescent="0.3">
      <c r="A29" s="1" t="s">
        <v>215</v>
      </c>
      <c r="B29" s="1"/>
      <c r="C29" s="1"/>
      <c r="D29" s="1"/>
    </row>
    <row r="30" spans="1:4" x14ac:dyDescent="0.3">
      <c r="A30" s="12" t="s">
        <v>184</v>
      </c>
      <c r="B30" s="12" t="s">
        <v>185</v>
      </c>
      <c r="C30" s="12" t="s">
        <v>186</v>
      </c>
      <c r="D30" s="12" t="s">
        <v>187</v>
      </c>
    </row>
    <row r="31" spans="1:4" x14ac:dyDescent="0.3">
      <c r="A31" s="9" t="s">
        <v>216</v>
      </c>
      <c r="B31" s="9">
        <f>COUNTIF('Form Responses'!O27:O30,"*Improved academic outcomes*")</f>
        <v>3</v>
      </c>
      <c r="C31" s="10">
        <f>B31/4</f>
        <v>0.75</v>
      </c>
      <c r="D31" s="13" t="str">
        <f>REPT("▮",ROUND(B31/4*20,0))</f>
        <v>▮▮▮▮▮▮▮▮▮▮▮▮▮▮▮</v>
      </c>
    </row>
    <row r="32" spans="1:4" x14ac:dyDescent="0.3">
      <c r="A32" s="9" t="s">
        <v>217</v>
      </c>
      <c r="B32" s="9">
        <f>COUNTIF('Form Responses'!O27:O30,"*Increased teacher confidence*")</f>
        <v>4</v>
      </c>
      <c r="C32" s="10">
        <f>B32/4</f>
        <v>1</v>
      </c>
      <c r="D32" s="13" t="str">
        <f>REPT("▮",ROUND(B32/4*20,0))</f>
        <v>▮▮▮▮▮▮▮▮▮▮▮▮▮▮▮▮▮▮▮▮</v>
      </c>
    </row>
    <row r="33" spans="1:4" x14ac:dyDescent="0.3">
      <c r="A33" s="9" t="s">
        <v>218</v>
      </c>
      <c r="B33" s="9">
        <f>COUNTIF('Form Responses'!O27:O30,"*Improved assessment data use*")</f>
        <v>3</v>
      </c>
      <c r="C33" s="10">
        <f>B33/4</f>
        <v>0.75</v>
      </c>
      <c r="D33" s="13" t="str">
        <f>REPT("▮",ROUND(B33/4*20,0))</f>
        <v>▮▮▮▮▮▮▮▮▮▮▮▮▮▮▮</v>
      </c>
    </row>
    <row r="34" spans="1:4" x14ac:dyDescent="0.3">
      <c r="A34" s="9" t="s">
        <v>219</v>
      </c>
      <c r="B34" s="9">
        <f>COUNTIF('Form Responses'!O27:O30,"*Consistent technology use*")</f>
        <v>2</v>
      </c>
      <c r="C34" s="10">
        <f>B34/4</f>
        <v>0.5</v>
      </c>
      <c r="D34" s="13" t="str">
        <f>REPT("▮",ROUND(B34/4*20,0))</f>
        <v>▮▮▮▮▮▮▮▮▮▮</v>
      </c>
    </row>
    <row r="35" spans="1:4" x14ac:dyDescent="0.3">
      <c r="A35" s="9" t="s">
        <v>220</v>
      </c>
      <c r="B35" s="9">
        <f>COUNTIF('Form Responses'!O27:O30,"*Increased student engagement*")</f>
        <v>2</v>
      </c>
      <c r="C35" s="10">
        <f>B35/4</f>
        <v>0.5</v>
      </c>
      <c r="D35" s="13" t="str">
        <f>REPT("▮",ROUND(B35/4*20,0))</f>
        <v>▮▮▮▮▮▮▮▮▮▮</v>
      </c>
    </row>
  </sheetData>
  <mergeCells count="6">
    <mergeCell ref="A29:D29"/>
    <mergeCell ref="A1:D1"/>
    <mergeCell ref="A2:D2"/>
    <mergeCell ref="A4:D4"/>
    <mergeCell ref="A12:D12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</vt:lpstr>
      <vt:lpstr>Teacher Summary</vt:lpstr>
      <vt:lpstr>Admin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2026-04-23T17:49:03Z</dcterms:created>
  <dcterms:modified xsi:type="dcterms:W3CDTF">2026-04-24T12:32:03Z</dcterms:modified>
  <dc:language>en-US</dc:language>
</cp:coreProperties>
</file>